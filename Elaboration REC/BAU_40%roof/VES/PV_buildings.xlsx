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PythonProject\Bari_dataset\Elaboration REC\BAU_40%roof\VES\"/>
    </mc:Choice>
  </mc:AlternateContent>
  <xr:revisionPtr revIDLastSave="0" documentId="13_ncr:1_{C59A8C6A-C399-4A8B-B11F-F346651E845A}" xr6:coauthVersionLast="47" xr6:coauthVersionMax="47" xr10:uidLastSave="{00000000-0000-0000-0000-000000000000}"/>
  <bookViews>
    <workbookView xWindow="945" yWindow="0" windowWidth="16605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G2" i="1"/>
  <c r="L2" i="1"/>
  <c r="K2" i="1"/>
</calcChain>
</file>

<file path=xl/sharedStrings.xml><?xml version="1.0" encoding="utf-8"?>
<sst xmlns="http://schemas.openxmlformats.org/spreadsheetml/2006/main" count="123" uniqueCount="123">
  <si>
    <t>Rad_total_annual_kWh</t>
  </si>
  <si>
    <t>PV_area_m2</t>
  </si>
  <si>
    <t>n_panels</t>
  </si>
  <si>
    <t>kW_installed</t>
  </si>
  <si>
    <t>PV_gen_annual_kWh</t>
  </si>
  <si>
    <t>Building</t>
  </si>
  <si>
    <t>B100</t>
  </si>
  <si>
    <t>B101</t>
  </si>
  <si>
    <t>B102</t>
  </si>
  <si>
    <t>B103</t>
  </si>
  <si>
    <t>B104</t>
  </si>
  <si>
    <t>B105</t>
  </si>
  <si>
    <t>B108</t>
  </si>
  <si>
    <t>B109</t>
  </si>
  <si>
    <t>B10</t>
  </si>
  <si>
    <t>B110</t>
  </si>
  <si>
    <t>B111</t>
  </si>
  <si>
    <t>B112</t>
  </si>
  <si>
    <t>B113</t>
  </si>
  <si>
    <t>B114</t>
  </si>
  <si>
    <t>B116</t>
  </si>
  <si>
    <t>B117</t>
  </si>
  <si>
    <t>B11</t>
  </si>
  <si>
    <t>B120</t>
  </si>
  <si>
    <t>B121</t>
  </si>
  <si>
    <t>B122</t>
  </si>
  <si>
    <t>B123</t>
  </si>
  <si>
    <t>B124</t>
  </si>
  <si>
    <t>B126</t>
  </si>
  <si>
    <t>B127</t>
  </si>
  <si>
    <t>B128</t>
  </si>
  <si>
    <t>B129</t>
  </si>
  <si>
    <t>B12</t>
  </si>
  <si>
    <t>B130</t>
  </si>
  <si>
    <t>B132</t>
  </si>
  <si>
    <t>B133</t>
  </si>
  <si>
    <t>B134</t>
  </si>
  <si>
    <t>B136</t>
  </si>
  <si>
    <t>B137</t>
  </si>
  <si>
    <t>B138</t>
  </si>
  <si>
    <t>B14</t>
  </si>
  <si>
    <t>B15</t>
  </si>
  <si>
    <t>B16</t>
  </si>
  <si>
    <t>B17</t>
  </si>
  <si>
    <t>B1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</si>
  <si>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</si>
  <si>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</si>
  <si>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</si>
  <si>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</si>
  <si>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</si>
  <si>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</si>
  <si>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</si>
  <si>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</si>
  <si>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</si>
  <si>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B2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</si>
  <si>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</si>
  <si>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</si>
  <si>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</si>
  <si>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</si>
  <si>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</si>
  <si>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</si>
  <si>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</si>
  <si>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</si>
  <si>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</si>
  <si>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</si>
  <si>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B3</t>
  </si>
  <si>
    <t>B40</t>
  </si>
  <si>
    <t>B41</t>
  </si>
  <si>
    <t>B42</t>
  </si>
  <si>
    <t>B43</t>
  </si>
  <si>
    <t>B44</t>
  </si>
  <si>
    <t>B45</t>
  </si>
  <si>
    <t>B466</t>
  </si>
  <si>
    <t>B46</t>
  </si>
  <si>
    <t>B47</t>
  </si>
  <si>
    <t>B48</t>
  </si>
  <si>
    <t>B4</t>
  </si>
  <si>
    <t>B50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</si>
  <si>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</si>
  <si>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</si>
  <si>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</si>
  <si>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</si>
  <si>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</si>
  <si>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</si>
  <si>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</si>
  <si>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</si>
  <si>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</si>
  <si>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</si>
  <si>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</si>
  <si>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</si>
  <si>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B66</t>
  </si>
  <si>
    <t>B69</t>
  </si>
  <si>
    <t>B6</t>
  </si>
  <si>
    <t>B70</t>
  </si>
  <si>
    <t>B72</t>
  </si>
  <si>
    <t>B73</t>
  </si>
  <si>
    <t>B74</t>
  </si>
  <si>
    <t>B75</t>
  </si>
  <si>
    <t>B76</t>
  </si>
  <si>
    <t>B78</t>
  </si>
  <si>
    <t>B801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</si>
  <si>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</si>
  <si>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</si>
  <si>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</si>
  <si>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</si>
  <si>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</si>
  <si>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</si>
  <si>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</si>
  <si>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</si>
  <si>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</si>
  <si>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</si>
  <si>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B8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</si>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</sst>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selection activeCell="H4" sqref="H4"/>
    </sheetView>
  </sheetViews>
  <sheetFormatPr defaultRowHeight="15" x14ac:dyDescent="0.25"/>
  <cols>
    <col min="2" max="2" width="22" bestFit="1" customWidth="1"/>
    <col min="3" max="3" width="12" bestFit="1" customWidth="1"/>
    <col min="5" max="5" width="12.7109375" bestFit="1" customWidth="1"/>
    <col min="6" max="6" width="20.140625" bestFit="1" customWidth="1"/>
  </cols>
  <sheetData>
    <row r="1" spans="1:12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25">
      <c r="A2" s="1" t="s">
        <v>6</v>
      </c>
      <c r="B2">
        <v>374836.5</v>
      </c>
      <c r="C2">
        <v>92.98</v>
      </c>
      <c r="D2">
        <v>52.83</v>
      </c>
      <c r="E2">
        <v>17.21</v>
      </c>
      <c r="F2">
        <v>23989.54</v>
      </c>
      <c r="G2">
        <f>SUM(E2:E118)</f>
        <v>2763.4099999999985</v>
      </c>
      <c r="H2">
        <f>SUM(B2:B8,B28,B36:B48,B72,B74:B77,B88,B102:B107,B118)</f>
        <v>20363090.720000006</v>
      </c>
      <c r="I2">
        <f>SUM(C2:C8,C28,C36:C48,C72,C74:C77,C88,C102:C107,C118)</f>
        <v>5050.9399999999987</v>
      </c>
      <c r="J2">
        <f>SUM(D2:D8,D28,D36:D48,D72,D74:D77,D88,D102:D107,D118)</f>
        <v>2869.83</v>
      </c>
      <c r="K2">
        <f>SUM(E2:E8,E28,E36:E48,E72,E74:E77,E88,E102:E107,E118)</f>
        <v>934.72</v>
      </c>
      <c r="L2">
        <f>SUM(F2:F8,F28,F36:F48,F72,F74:F77,F88,F102:F107,F118)</f>
        <v>1303237.8000000003</v>
      </c>
    </row>
    <row r="3" spans="1:12" x14ac:dyDescent="0.25">
      <c r="A3" s="1" t="s">
        <v>7</v>
      </c>
      <c r="B3">
        <v>355695.87</v>
      </c>
      <c r="C3">
        <v>88.23</v>
      </c>
      <c r="D3">
        <v>50.13</v>
      </c>
      <c r="E3">
        <v>16.329999999999998</v>
      </c>
      <c r="F3">
        <v>22764.54</v>
      </c>
    </row>
    <row r="4" spans="1:12" x14ac:dyDescent="0.25">
      <c r="A4" s="1" t="s">
        <v>8</v>
      </c>
      <c r="B4">
        <v>346401.03</v>
      </c>
      <c r="C4">
        <v>85.92</v>
      </c>
      <c r="D4">
        <v>48.82</v>
      </c>
      <c r="E4">
        <v>15.9</v>
      </c>
      <c r="F4">
        <v>22169.67</v>
      </c>
    </row>
    <row r="5" spans="1:12" x14ac:dyDescent="0.25">
      <c r="A5" s="1" t="s">
        <v>9</v>
      </c>
      <c r="B5">
        <v>362254.37</v>
      </c>
      <c r="C5">
        <v>89.86</v>
      </c>
      <c r="D5">
        <v>51.05</v>
      </c>
      <c r="E5">
        <v>16.63</v>
      </c>
      <c r="F5">
        <v>23184.28</v>
      </c>
    </row>
    <row r="6" spans="1:12" x14ac:dyDescent="0.25">
      <c r="A6" s="1" t="s">
        <v>10</v>
      </c>
      <c r="B6">
        <v>334909.86</v>
      </c>
      <c r="C6">
        <v>83.07</v>
      </c>
      <c r="D6">
        <v>47.2</v>
      </c>
      <c r="E6">
        <v>15.37</v>
      </c>
      <c r="F6">
        <v>21434.23</v>
      </c>
    </row>
    <row r="7" spans="1:12" x14ac:dyDescent="0.25">
      <c r="A7" s="1" t="s">
        <v>11</v>
      </c>
      <c r="B7">
        <v>397537.76</v>
      </c>
      <c r="C7">
        <v>98.61</v>
      </c>
      <c r="D7">
        <v>56.03</v>
      </c>
      <c r="E7">
        <v>18.25</v>
      </c>
      <c r="F7">
        <v>25442.42</v>
      </c>
    </row>
    <row r="8" spans="1:12" x14ac:dyDescent="0.25">
      <c r="A8" s="1" t="s">
        <v>12</v>
      </c>
      <c r="B8">
        <v>411753.27</v>
      </c>
      <c r="C8">
        <v>102.13</v>
      </c>
      <c r="D8">
        <v>58.03</v>
      </c>
      <c r="E8">
        <v>18.899999999999999</v>
      </c>
      <c r="F8">
        <v>26352.21</v>
      </c>
    </row>
    <row r="9" spans="1:12" x14ac:dyDescent="0.25">
      <c r="A9" s="2" t="s">
        <v>13</v>
      </c>
      <c r="B9">
        <v>417143.6</v>
      </c>
      <c r="C9">
        <v>103.47</v>
      </c>
      <c r="D9">
        <v>58.79</v>
      </c>
      <c r="E9">
        <v>19.149999999999999</v>
      </c>
      <c r="F9">
        <v>26697.19</v>
      </c>
    </row>
    <row r="10" spans="1:12" x14ac:dyDescent="0.25">
      <c r="A10" s="2" t="s">
        <v>14</v>
      </c>
      <c r="B10">
        <v>400515.32</v>
      </c>
      <c r="C10">
        <v>99.34</v>
      </c>
      <c r="D10">
        <v>56.45</v>
      </c>
      <c r="E10">
        <v>18.38</v>
      </c>
      <c r="F10">
        <v>25632.98</v>
      </c>
    </row>
    <row r="11" spans="1:12" x14ac:dyDescent="0.25">
      <c r="A11" s="2" t="s">
        <v>15</v>
      </c>
      <c r="B11">
        <v>389414.53</v>
      </c>
      <c r="C11">
        <v>96.59</v>
      </c>
      <c r="D11">
        <v>54.88</v>
      </c>
      <c r="E11">
        <v>17.88</v>
      </c>
      <c r="F11">
        <v>24922.53</v>
      </c>
    </row>
    <row r="12" spans="1:12" x14ac:dyDescent="0.25">
      <c r="A12" s="2" t="s">
        <v>16</v>
      </c>
      <c r="B12">
        <v>438737.47</v>
      </c>
      <c r="C12">
        <v>108.82</v>
      </c>
      <c r="D12">
        <v>61.83</v>
      </c>
      <c r="E12">
        <v>20.14</v>
      </c>
      <c r="F12">
        <v>28079.200000000001</v>
      </c>
    </row>
    <row r="13" spans="1:12" x14ac:dyDescent="0.25">
      <c r="A13" s="2" t="s">
        <v>17</v>
      </c>
      <c r="B13">
        <v>434567.9</v>
      </c>
      <c r="C13">
        <v>107.79</v>
      </c>
      <c r="D13">
        <v>61.25</v>
      </c>
      <c r="E13">
        <v>19.95</v>
      </c>
      <c r="F13">
        <v>27812.35</v>
      </c>
    </row>
    <row r="14" spans="1:12" x14ac:dyDescent="0.25">
      <c r="A14" s="2" t="s">
        <v>18</v>
      </c>
      <c r="B14">
        <v>457271</v>
      </c>
      <c r="C14">
        <v>113.42</v>
      </c>
      <c r="D14">
        <v>64.45</v>
      </c>
      <c r="E14">
        <v>20.99</v>
      </c>
      <c r="F14">
        <v>29265.34</v>
      </c>
    </row>
    <row r="15" spans="1:12" x14ac:dyDescent="0.25">
      <c r="A15" s="2" t="s">
        <v>19</v>
      </c>
      <c r="B15">
        <v>457285.74</v>
      </c>
      <c r="C15">
        <v>113.43</v>
      </c>
      <c r="D15">
        <v>64.45</v>
      </c>
      <c r="E15">
        <v>20.99</v>
      </c>
      <c r="F15">
        <v>29266.29</v>
      </c>
    </row>
    <row r="16" spans="1:12" x14ac:dyDescent="0.25">
      <c r="A16" s="2" t="s">
        <v>20</v>
      </c>
      <c r="B16">
        <v>635932.96</v>
      </c>
      <c r="C16">
        <v>157.74</v>
      </c>
      <c r="D16">
        <v>89.62</v>
      </c>
      <c r="E16">
        <v>29.19</v>
      </c>
      <c r="F16">
        <v>40699.71</v>
      </c>
    </row>
    <row r="17" spans="1:6" x14ac:dyDescent="0.25">
      <c r="A17" s="2" t="s">
        <v>21</v>
      </c>
      <c r="B17">
        <v>479876.39</v>
      </c>
      <c r="C17">
        <v>119.03</v>
      </c>
      <c r="D17">
        <v>67.63</v>
      </c>
      <c r="E17">
        <v>22.03</v>
      </c>
      <c r="F17">
        <v>30712.09</v>
      </c>
    </row>
    <row r="18" spans="1:6" x14ac:dyDescent="0.25">
      <c r="A18" s="2" t="s">
        <v>22</v>
      </c>
      <c r="B18">
        <v>400588.52</v>
      </c>
      <c r="C18">
        <v>99.36</v>
      </c>
      <c r="D18">
        <v>56.46</v>
      </c>
      <c r="E18">
        <v>18.39</v>
      </c>
      <c r="F18">
        <v>25637.67</v>
      </c>
    </row>
    <row r="19" spans="1:6" x14ac:dyDescent="0.25">
      <c r="A19" s="2" t="s">
        <v>23</v>
      </c>
      <c r="B19">
        <v>586464.47</v>
      </c>
      <c r="C19">
        <v>145.47</v>
      </c>
      <c r="D19">
        <v>82.65</v>
      </c>
      <c r="E19">
        <v>26.92</v>
      </c>
      <c r="F19">
        <v>37533.730000000003</v>
      </c>
    </row>
    <row r="20" spans="1:6" x14ac:dyDescent="0.25">
      <c r="A20" s="2" t="s">
        <v>24</v>
      </c>
      <c r="B20">
        <v>431380.44</v>
      </c>
      <c r="C20">
        <v>107</v>
      </c>
      <c r="D20">
        <v>60.8</v>
      </c>
      <c r="E20">
        <v>19.8</v>
      </c>
      <c r="F20">
        <v>27608.35</v>
      </c>
    </row>
    <row r="21" spans="1:6" x14ac:dyDescent="0.25">
      <c r="A21" s="2" t="s">
        <v>25</v>
      </c>
      <c r="B21">
        <v>457117.77</v>
      </c>
      <c r="C21">
        <v>113.38</v>
      </c>
      <c r="D21">
        <v>64.42</v>
      </c>
      <c r="E21">
        <v>20.98</v>
      </c>
      <c r="F21">
        <v>29255.54</v>
      </c>
    </row>
    <row r="22" spans="1:6" x14ac:dyDescent="0.25">
      <c r="A22" s="2" t="s">
        <v>26</v>
      </c>
      <c r="B22">
        <v>510936.65</v>
      </c>
      <c r="C22">
        <v>126.73</v>
      </c>
      <c r="D22">
        <v>72.010000000000005</v>
      </c>
      <c r="E22">
        <v>23.45</v>
      </c>
      <c r="F22">
        <v>32699.95</v>
      </c>
    </row>
    <row r="23" spans="1:6" x14ac:dyDescent="0.25">
      <c r="A23" s="2" t="s">
        <v>27</v>
      </c>
      <c r="B23">
        <v>424987.24</v>
      </c>
      <c r="C23">
        <v>105.42</v>
      </c>
      <c r="D23">
        <v>59.9</v>
      </c>
      <c r="E23">
        <v>19.510000000000002</v>
      </c>
      <c r="F23">
        <v>27199.18</v>
      </c>
    </row>
    <row r="24" spans="1:6" x14ac:dyDescent="0.25">
      <c r="A24" s="2" t="s">
        <v>28</v>
      </c>
      <c r="B24">
        <v>420297.59</v>
      </c>
      <c r="C24">
        <v>104.25</v>
      </c>
      <c r="D24">
        <v>59.23</v>
      </c>
      <c r="E24">
        <v>19.29</v>
      </c>
      <c r="F24">
        <v>26899.05</v>
      </c>
    </row>
    <row r="25" spans="1:6" x14ac:dyDescent="0.25">
      <c r="A25" s="2" t="s">
        <v>29</v>
      </c>
      <c r="B25">
        <v>468383.37</v>
      </c>
      <c r="C25">
        <v>116.18</v>
      </c>
      <c r="D25">
        <v>66.010000000000005</v>
      </c>
      <c r="E25">
        <v>21.5</v>
      </c>
      <c r="F25">
        <v>29976.54</v>
      </c>
    </row>
    <row r="26" spans="1:6" x14ac:dyDescent="0.25">
      <c r="A26" s="2" t="s">
        <v>30</v>
      </c>
      <c r="B26">
        <v>259260.29</v>
      </c>
      <c r="C26">
        <v>64.31</v>
      </c>
      <c r="D26">
        <v>36.54</v>
      </c>
      <c r="E26">
        <v>11.9</v>
      </c>
      <c r="F26">
        <v>16592.66</v>
      </c>
    </row>
    <row r="27" spans="1:6" x14ac:dyDescent="0.25">
      <c r="A27" s="2" t="s">
        <v>31</v>
      </c>
      <c r="B27">
        <v>462271.76</v>
      </c>
      <c r="C27">
        <v>114.66</v>
      </c>
      <c r="D27">
        <v>65.150000000000006</v>
      </c>
      <c r="E27">
        <v>21.22</v>
      </c>
      <c r="F27">
        <v>29585.39</v>
      </c>
    </row>
    <row r="28" spans="1:6" x14ac:dyDescent="0.25">
      <c r="A28" s="1" t="s">
        <v>32</v>
      </c>
      <c r="B28">
        <v>385952.69</v>
      </c>
      <c r="C28">
        <v>95.73</v>
      </c>
      <c r="D28">
        <v>54.39</v>
      </c>
      <c r="E28">
        <v>17.72</v>
      </c>
      <c r="F28">
        <v>24700.97</v>
      </c>
    </row>
    <row r="29" spans="1:6" x14ac:dyDescent="0.25">
      <c r="A29" s="2" t="s">
        <v>33</v>
      </c>
      <c r="B29">
        <v>488344.16</v>
      </c>
      <c r="C29">
        <v>121.13</v>
      </c>
      <c r="D29">
        <v>68.819999999999993</v>
      </c>
      <c r="E29">
        <v>22.42</v>
      </c>
      <c r="F29">
        <v>31254.03</v>
      </c>
    </row>
    <row r="30" spans="1:6" x14ac:dyDescent="0.25">
      <c r="A30" s="2" t="s">
        <v>34</v>
      </c>
      <c r="B30">
        <v>707872.84</v>
      </c>
      <c r="C30">
        <v>175.58</v>
      </c>
      <c r="D30">
        <v>99.76</v>
      </c>
      <c r="E30">
        <v>32.49</v>
      </c>
      <c r="F30">
        <v>45303.86</v>
      </c>
    </row>
    <row r="31" spans="1:6" x14ac:dyDescent="0.25">
      <c r="A31" s="2" t="s">
        <v>35</v>
      </c>
      <c r="B31">
        <v>401091</v>
      </c>
      <c r="C31">
        <v>99.49</v>
      </c>
      <c r="D31">
        <v>56.53</v>
      </c>
      <c r="E31">
        <v>18.41</v>
      </c>
      <c r="F31">
        <v>25669.82</v>
      </c>
    </row>
    <row r="32" spans="1:6" x14ac:dyDescent="0.25">
      <c r="A32" s="2" t="s">
        <v>36</v>
      </c>
      <c r="B32">
        <v>407208.8</v>
      </c>
      <c r="C32">
        <v>101</v>
      </c>
      <c r="D32">
        <v>57.39</v>
      </c>
      <c r="E32">
        <v>18.690000000000001</v>
      </c>
      <c r="F32">
        <v>26061.360000000001</v>
      </c>
    </row>
    <row r="33" spans="1:6" x14ac:dyDescent="0.25">
      <c r="A33" s="2" t="s">
        <v>37</v>
      </c>
      <c r="B33">
        <v>344090.24</v>
      </c>
      <c r="C33">
        <v>85.35</v>
      </c>
      <c r="D33">
        <v>48.49</v>
      </c>
      <c r="E33">
        <v>15.79</v>
      </c>
      <c r="F33">
        <v>22021.78</v>
      </c>
    </row>
    <row r="34" spans="1:6" x14ac:dyDescent="0.25">
      <c r="A34" s="2" t="s">
        <v>38</v>
      </c>
      <c r="B34">
        <v>300937.28000000003</v>
      </c>
      <c r="C34">
        <v>74.64</v>
      </c>
      <c r="D34">
        <v>42.41</v>
      </c>
      <c r="E34">
        <v>13.81</v>
      </c>
      <c r="F34">
        <v>19259.990000000002</v>
      </c>
    </row>
    <row r="35" spans="1:6" x14ac:dyDescent="0.25">
      <c r="A35" s="2" t="s">
        <v>39</v>
      </c>
      <c r="B35">
        <v>627733.55000000005</v>
      </c>
      <c r="C35">
        <v>155.69999999999999</v>
      </c>
      <c r="D35">
        <v>88.47</v>
      </c>
      <c r="E35">
        <v>28.81</v>
      </c>
      <c r="F35">
        <v>40174.949999999997</v>
      </c>
    </row>
    <row r="36" spans="1:6" x14ac:dyDescent="0.25">
      <c r="A36" s="1" t="s">
        <v>40</v>
      </c>
      <c r="B36">
        <v>418948.3</v>
      </c>
      <c r="C36">
        <v>103.92</v>
      </c>
      <c r="D36">
        <v>59.04</v>
      </c>
      <c r="E36">
        <v>19.23</v>
      </c>
      <c r="F36">
        <v>26812.69</v>
      </c>
    </row>
    <row r="37" spans="1:6" x14ac:dyDescent="0.25">
      <c r="A37" s="1" t="s">
        <v>41</v>
      </c>
      <c r="B37">
        <v>399000.65</v>
      </c>
      <c r="C37">
        <v>98.97</v>
      </c>
      <c r="D37">
        <v>56.23</v>
      </c>
      <c r="E37">
        <v>18.309999999999999</v>
      </c>
      <c r="F37">
        <v>25536.04</v>
      </c>
    </row>
    <row r="38" spans="1:6" x14ac:dyDescent="0.25">
      <c r="A38" s="1" t="s">
        <v>42</v>
      </c>
      <c r="B38">
        <v>413375.36</v>
      </c>
      <c r="C38">
        <v>102.54</v>
      </c>
      <c r="D38">
        <v>58.26</v>
      </c>
      <c r="E38">
        <v>18.97</v>
      </c>
      <c r="F38">
        <v>26456.02</v>
      </c>
    </row>
    <row r="39" spans="1:6" x14ac:dyDescent="0.25">
      <c r="A39" s="1" t="s">
        <v>43</v>
      </c>
      <c r="B39">
        <v>425247.57</v>
      </c>
      <c r="C39">
        <v>105.48</v>
      </c>
      <c r="D39">
        <v>59.93</v>
      </c>
      <c r="E39">
        <v>19.52</v>
      </c>
      <c r="F39">
        <v>27215.84</v>
      </c>
    </row>
    <row r="40" spans="1:6" x14ac:dyDescent="0.25">
      <c r="A40" s="1" t="s">
        <v>44</v>
      </c>
      <c r="B40">
        <v>1765437.7</v>
      </c>
      <c r="C40">
        <v>437.9</v>
      </c>
      <c r="D40">
        <v>248.81</v>
      </c>
      <c r="E40">
        <v>81.040000000000006</v>
      </c>
      <c r="F40">
        <v>112988.01</v>
      </c>
    </row>
    <row r="41" spans="1:6" x14ac:dyDescent="0.25">
      <c r="A41" s="1" t="s">
        <v>45</v>
      </c>
      <c r="B41">
        <v>398602</v>
      </c>
      <c r="C41">
        <v>98.87</v>
      </c>
      <c r="D41">
        <v>56.18</v>
      </c>
      <c r="E41">
        <v>18.3</v>
      </c>
      <c r="F41">
        <v>25510.53</v>
      </c>
    </row>
    <row r="42" spans="1:6" x14ac:dyDescent="0.25">
      <c r="A42" s="1" t="s">
        <v>46</v>
      </c>
      <c r="B42">
        <v>458185.37</v>
      </c>
      <c r="C42">
        <v>113.65</v>
      </c>
      <c r="D42">
        <v>64.569999999999993</v>
      </c>
      <c r="E42">
        <v>21.03</v>
      </c>
      <c r="F42">
        <v>29323.86</v>
      </c>
    </row>
    <row r="43" spans="1:6" x14ac:dyDescent="0.25">
      <c r="A43" s="1" t="s">
        <v>47</v>
      </c>
      <c r="B43">
        <v>322076.45</v>
      </c>
      <c r="C43">
        <v>79.89</v>
      </c>
      <c r="D43">
        <v>45.39</v>
      </c>
      <c r="E43">
        <v>14.78</v>
      </c>
      <c r="F43">
        <v>20612.89</v>
      </c>
    </row>
    <row r="44" spans="1:6" x14ac:dyDescent="0.25">
      <c r="A44" s="1" t="s">
        <v>48</v>
      </c>
      <c r="B44">
        <v>394255.45</v>
      </c>
      <c r="C44">
        <v>97.79</v>
      </c>
      <c r="D44">
        <v>55.56</v>
      </c>
      <c r="E44">
        <v>18.100000000000001</v>
      </c>
      <c r="F44">
        <v>25232.35</v>
      </c>
    </row>
    <row r="45" spans="1:6" x14ac:dyDescent="0.25">
      <c r="A45" s="1" t="s">
        <v>49</v>
      </c>
      <c r="B45">
        <v>397586.85</v>
      </c>
      <c r="C45">
        <v>98.62</v>
      </c>
      <c r="D45">
        <v>56.03</v>
      </c>
      <c r="E45">
        <v>18.25</v>
      </c>
      <c r="F45">
        <v>25445.56</v>
      </c>
    </row>
    <row r="46" spans="1:6" x14ac:dyDescent="0.25">
      <c r="A46" s="1" t="s">
        <v>50</v>
      </c>
      <c r="B46">
        <v>444683.32</v>
      </c>
      <c r="C46">
        <v>110.3</v>
      </c>
      <c r="D46">
        <v>62.67</v>
      </c>
      <c r="E46">
        <v>20.41</v>
      </c>
      <c r="F46">
        <v>28459.73</v>
      </c>
    </row>
    <row r="47" spans="1:6" x14ac:dyDescent="0.25">
      <c r="A47" s="1" t="s">
        <v>51</v>
      </c>
      <c r="B47">
        <v>995829.65</v>
      </c>
      <c r="C47">
        <v>247.01</v>
      </c>
      <c r="D47">
        <v>140.35</v>
      </c>
      <c r="E47">
        <v>45.71</v>
      </c>
      <c r="F47">
        <v>63733.1</v>
      </c>
    </row>
    <row r="48" spans="1:6" x14ac:dyDescent="0.25">
      <c r="A48" s="1" t="s">
        <v>52</v>
      </c>
      <c r="B48">
        <v>403397.72</v>
      </c>
      <c r="C48">
        <v>100.06</v>
      </c>
      <c r="D48">
        <v>56.85</v>
      </c>
      <c r="E48">
        <v>18.52</v>
      </c>
      <c r="F48">
        <v>25817.45</v>
      </c>
    </row>
    <row r="49" spans="1:6" x14ac:dyDescent="0.25">
      <c r="A49" s="2" t="s">
        <v>53</v>
      </c>
      <c r="B49">
        <v>475974.97</v>
      </c>
      <c r="C49">
        <v>118.06</v>
      </c>
      <c r="D49">
        <v>67.08</v>
      </c>
      <c r="E49">
        <v>21.85</v>
      </c>
      <c r="F49">
        <v>30462.400000000001</v>
      </c>
    </row>
    <row r="50" spans="1:6" x14ac:dyDescent="0.25">
      <c r="A50" s="2" t="s">
        <v>54</v>
      </c>
      <c r="B50">
        <v>2574685.4900000002</v>
      </c>
      <c r="C50">
        <v>638.63</v>
      </c>
      <c r="D50">
        <v>362.86</v>
      </c>
      <c r="E50">
        <v>118.18</v>
      </c>
      <c r="F50">
        <v>164779.87</v>
      </c>
    </row>
    <row r="51" spans="1:6" x14ac:dyDescent="0.25">
      <c r="A51" s="2" t="s">
        <v>55</v>
      </c>
      <c r="B51">
        <v>448483.19</v>
      </c>
      <c r="C51">
        <v>111.24</v>
      </c>
      <c r="D51">
        <v>63.21</v>
      </c>
      <c r="E51">
        <v>20.59</v>
      </c>
      <c r="F51">
        <v>28702.92</v>
      </c>
    </row>
    <row r="52" spans="1:6" x14ac:dyDescent="0.25">
      <c r="A52" s="2" t="s">
        <v>56</v>
      </c>
      <c r="B52">
        <v>488729.57</v>
      </c>
      <c r="C52">
        <v>121.22</v>
      </c>
      <c r="D52">
        <v>68.88</v>
      </c>
      <c r="E52">
        <v>22.43</v>
      </c>
      <c r="F52">
        <v>31278.69</v>
      </c>
    </row>
    <row r="53" spans="1:6" x14ac:dyDescent="0.25">
      <c r="A53" s="2" t="s">
        <v>57</v>
      </c>
      <c r="B53">
        <v>469775.93</v>
      </c>
      <c r="C53">
        <v>116.52</v>
      </c>
      <c r="D53">
        <v>66.209999999999994</v>
      </c>
      <c r="E53">
        <v>21.56</v>
      </c>
      <c r="F53">
        <v>30065.66</v>
      </c>
    </row>
    <row r="54" spans="1:6" x14ac:dyDescent="0.25">
      <c r="A54" s="2" t="s">
        <v>58</v>
      </c>
      <c r="B54">
        <v>421742.81</v>
      </c>
      <c r="C54">
        <v>104.61</v>
      </c>
      <c r="D54">
        <v>59.44</v>
      </c>
      <c r="E54">
        <v>19.36</v>
      </c>
      <c r="F54">
        <v>26991.54</v>
      </c>
    </row>
    <row r="55" spans="1:6" x14ac:dyDescent="0.25">
      <c r="A55" s="2" t="s">
        <v>59</v>
      </c>
      <c r="B55">
        <v>389749.43</v>
      </c>
      <c r="C55">
        <v>96.68</v>
      </c>
      <c r="D55">
        <v>54.93</v>
      </c>
      <c r="E55">
        <v>17.89</v>
      </c>
      <c r="F55">
        <v>24943.96</v>
      </c>
    </row>
    <row r="56" spans="1:6" x14ac:dyDescent="0.25">
      <c r="A56" s="2" t="s">
        <v>60</v>
      </c>
      <c r="B56">
        <v>636362.93999999994</v>
      </c>
      <c r="C56">
        <v>157.84</v>
      </c>
      <c r="D56">
        <v>89.68</v>
      </c>
      <c r="E56">
        <v>29.21</v>
      </c>
      <c r="F56">
        <v>40727.230000000003</v>
      </c>
    </row>
    <row r="57" spans="1:6" x14ac:dyDescent="0.25">
      <c r="A57" s="2" t="s">
        <v>61</v>
      </c>
      <c r="B57">
        <v>407668.43</v>
      </c>
      <c r="C57">
        <v>101.12</v>
      </c>
      <c r="D57">
        <v>57.45</v>
      </c>
      <c r="E57">
        <v>18.71</v>
      </c>
      <c r="F57">
        <v>26090.78</v>
      </c>
    </row>
    <row r="58" spans="1:6" x14ac:dyDescent="0.25">
      <c r="A58" s="2" t="s">
        <v>62</v>
      </c>
      <c r="B58">
        <v>470752.36</v>
      </c>
      <c r="C58">
        <v>116.77</v>
      </c>
      <c r="D58">
        <v>66.349999999999994</v>
      </c>
      <c r="E58">
        <v>21.61</v>
      </c>
      <c r="F58">
        <v>30128.15</v>
      </c>
    </row>
    <row r="59" spans="1:6" x14ac:dyDescent="0.25">
      <c r="A59" s="2" t="s">
        <v>63</v>
      </c>
      <c r="B59">
        <v>371751.72</v>
      </c>
      <c r="C59">
        <v>92.21</v>
      </c>
      <c r="D59">
        <v>52.39</v>
      </c>
      <c r="E59">
        <v>17.059999999999999</v>
      </c>
      <c r="F59">
        <v>23792.11</v>
      </c>
    </row>
    <row r="60" spans="1:6" x14ac:dyDescent="0.25">
      <c r="A60" s="2" t="s">
        <v>64</v>
      </c>
      <c r="B60">
        <v>439926.9</v>
      </c>
      <c r="C60">
        <v>109.12</v>
      </c>
      <c r="D60">
        <v>62</v>
      </c>
      <c r="E60">
        <v>20.190000000000001</v>
      </c>
      <c r="F60">
        <v>28155.32</v>
      </c>
    </row>
    <row r="61" spans="1:6" x14ac:dyDescent="0.25">
      <c r="A61" s="2" t="s">
        <v>65</v>
      </c>
      <c r="B61">
        <v>634349.25</v>
      </c>
      <c r="C61">
        <v>157.34</v>
      </c>
      <c r="D61">
        <v>89.4</v>
      </c>
      <c r="E61">
        <v>29.12</v>
      </c>
      <c r="F61">
        <v>40598.35</v>
      </c>
    </row>
    <row r="62" spans="1:6" x14ac:dyDescent="0.25">
      <c r="A62" s="2" t="s">
        <v>66</v>
      </c>
      <c r="B62">
        <v>873826.15</v>
      </c>
      <c r="C62">
        <v>216.75</v>
      </c>
      <c r="D62">
        <v>123.15</v>
      </c>
      <c r="E62">
        <v>40.11</v>
      </c>
      <c r="F62">
        <v>55924.87</v>
      </c>
    </row>
    <row r="63" spans="1:6" x14ac:dyDescent="0.25">
      <c r="A63" s="2" t="s">
        <v>67</v>
      </c>
      <c r="B63">
        <v>373563.31</v>
      </c>
      <c r="C63">
        <v>92.66</v>
      </c>
      <c r="D63">
        <v>52.65</v>
      </c>
      <c r="E63">
        <v>17.149999999999999</v>
      </c>
      <c r="F63">
        <v>23908.05</v>
      </c>
    </row>
    <row r="64" spans="1:6" x14ac:dyDescent="0.25">
      <c r="A64" s="2" t="s">
        <v>68</v>
      </c>
      <c r="B64">
        <v>361642.68</v>
      </c>
      <c r="C64">
        <v>89.7</v>
      </c>
      <c r="D64">
        <v>50.97</v>
      </c>
      <c r="E64">
        <v>16.600000000000001</v>
      </c>
      <c r="F64">
        <v>23145.13</v>
      </c>
    </row>
    <row r="65" spans="1:6" x14ac:dyDescent="0.25">
      <c r="A65" s="2" t="s">
        <v>69</v>
      </c>
      <c r="B65">
        <v>365922.52</v>
      </c>
      <c r="C65">
        <v>90.76</v>
      </c>
      <c r="D65">
        <v>51.57</v>
      </c>
      <c r="E65">
        <v>16.8</v>
      </c>
      <c r="F65">
        <v>23419.040000000001</v>
      </c>
    </row>
    <row r="66" spans="1:6" x14ac:dyDescent="0.25">
      <c r="A66" s="2" t="s">
        <v>70</v>
      </c>
      <c r="B66">
        <v>371218.99</v>
      </c>
      <c r="C66">
        <v>92.08</v>
      </c>
      <c r="D66">
        <v>52.32</v>
      </c>
      <c r="E66">
        <v>17.04</v>
      </c>
      <c r="F66">
        <v>23758.02</v>
      </c>
    </row>
    <row r="67" spans="1:6" x14ac:dyDescent="0.25">
      <c r="A67" s="2" t="s">
        <v>71</v>
      </c>
      <c r="B67">
        <v>394243.08</v>
      </c>
      <c r="C67">
        <v>97.79</v>
      </c>
      <c r="D67">
        <v>55.56</v>
      </c>
      <c r="E67">
        <v>18.100000000000001</v>
      </c>
      <c r="F67">
        <v>25231.56</v>
      </c>
    </row>
    <row r="68" spans="1:6" x14ac:dyDescent="0.25">
      <c r="A68" s="2" t="s">
        <v>72</v>
      </c>
      <c r="B68">
        <v>353013.6</v>
      </c>
      <c r="C68">
        <v>87.56</v>
      </c>
      <c r="D68">
        <v>49.75</v>
      </c>
      <c r="E68">
        <v>16.2</v>
      </c>
      <c r="F68">
        <v>22592.87</v>
      </c>
    </row>
    <row r="69" spans="1:6" x14ac:dyDescent="0.25">
      <c r="A69" s="2" t="s">
        <v>73</v>
      </c>
      <c r="B69">
        <v>387115.95</v>
      </c>
      <c r="C69">
        <v>96.02</v>
      </c>
      <c r="D69">
        <v>54.56</v>
      </c>
      <c r="E69">
        <v>17.77</v>
      </c>
      <c r="F69">
        <v>24775.42</v>
      </c>
    </row>
    <row r="70" spans="1:6" x14ac:dyDescent="0.25">
      <c r="A70" s="2" t="s">
        <v>74</v>
      </c>
      <c r="B70">
        <v>471183.19</v>
      </c>
      <c r="C70">
        <v>116.87</v>
      </c>
      <c r="D70">
        <v>66.400000000000006</v>
      </c>
      <c r="E70">
        <v>21.63</v>
      </c>
      <c r="F70">
        <v>30155.72</v>
      </c>
    </row>
    <row r="71" spans="1:6" x14ac:dyDescent="0.25">
      <c r="A71" s="2" t="s">
        <v>75</v>
      </c>
      <c r="B71">
        <v>458476.78</v>
      </c>
      <c r="C71">
        <v>113.72</v>
      </c>
      <c r="D71">
        <v>64.61</v>
      </c>
      <c r="E71">
        <v>21.04</v>
      </c>
      <c r="F71">
        <v>29342.51</v>
      </c>
    </row>
    <row r="72" spans="1:6" x14ac:dyDescent="0.25">
      <c r="A72" s="1" t="s">
        <v>76</v>
      </c>
      <c r="B72">
        <v>925915.3</v>
      </c>
      <c r="C72">
        <v>229.67</v>
      </c>
      <c r="D72">
        <v>130.49</v>
      </c>
      <c r="E72">
        <v>42.5</v>
      </c>
      <c r="F72">
        <v>59258.58</v>
      </c>
    </row>
    <row r="73" spans="1:6" x14ac:dyDescent="0.25">
      <c r="A73" s="2" t="s">
        <v>77</v>
      </c>
      <c r="B73">
        <v>616007.68999999994</v>
      </c>
      <c r="C73">
        <v>152.80000000000001</v>
      </c>
      <c r="D73">
        <v>86.82</v>
      </c>
      <c r="E73">
        <v>28.28</v>
      </c>
      <c r="F73">
        <v>39424.49</v>
      </c>
    </row>
    <row r="74" spans="1:6" x14ac:dyDescent="0.25">
      <c r="A74" s="1" t="s">
        <v>78</v>
      </c>
      <c r="B74">
        <v>423916.23</v>
      </c>
      <c r="C74">
        <v>105.15</v>
      </c>
      <c r="D74">
        <v>59.74</v>
      </c>
      <c r="E74">
        <v>19.46</v>
      </c>
      <c r="F74">
        <v>27130.639999999999</v>
      </c>
    </row>
    <row r="75" spans="1:6" x14ac:dyDescent="0.25">
      <c r="A75" s="1" t="s">
        <v>79</v>
      </c>
      <c r="B75">
        <v>427166.67</v>
      </c>
      <c r="C75">
        <v>105.96</v>
      </c>
      <c r="D75">
        <v>60.2</v>
      </c>
      <c r="E75">
        <v>19.61</v>
      </c>
      <c r="F75">
        <v>27338.67</v>
      </c>
    </row>
    <row r="76" spans="1:6" x14ac:dyDescent="0.25">
      <c r="A76" s="1" t="s">
        <v>80</v>
      </c>
      <c r="B76">
        <v>427912.65</v>
      </c>
      <c r="C76">
        <v>106.14</v>
      </c>
      <c r="D76">
        <v>60.31</v>
      </c>
      <c r="E76">
        <v>19.64</v>
      </c>
      <c r="F76">
        <v>27386.41</v>
      </c>
    </row>
    <row r="77" spans="1:6" x14ac:dyDescent="0.25">
      <c r="A77" s="1" t="s">
        <v>81</v>
      </c>
      <c r="B77">
        <v>409528.2</v>
      </c>
      <c r="C77">
        <v>101.58</v>
      </c>
      <c r="D77">
        <v>57.72</v>
      </c>
      <c r="E77">
        <v>18.8</v>
      </c>
      <c r="F77">
        <v>26209.8</v>
      </c>
    </row>
    <row r="78" spans="1:6" x14ac:dyDescent="0.25">
      <c r="A78" s="2" t="s">
        <v>82</v>
      </c>
      <c r="B78">
        <v>482527.84</v>
      </c>
      <c r="C78">
        <v>119.69</v>
      </c>
      <c r="D78">
        <v>68</v>
      </c>
      <c r="E78">
        <v>22.15</v>
      </c>
      <c r="F78">
        <v>30881.78</v>
      </c>
    </row>
    <row r="79" spans="1:6" x14ac:dyDescent="0.25">
      <c r="A79" s="2" t="s">
        <v>83</v>
      </c>
      <c r="B79">
        <v>364759.29</v>
      </c>
      <c r="C79">
        <v>90.48</v>
      </c>
      <c r="D79">
        <v>51.41</v>
      </c>
      <c r="E79">
        <v>16.739999999999998</v>
      </c>
      <c r="F79">
        <v>23344.59</v>
      </c>
    </row>
    <row r="80" spans="1:6" x14ac:dyDescent="0.25">
      <c r="A80" s="2" t="s">
        <v>84</v>
      </c>
      <c r="B80">
        <v>610282.44999999995</v>
      </c>
      <c r="C80">
        <v>151.38</v>
      </c>
      <c r="D80">
        <v>86.01</v>
      </c>
      <c r="E80">
        <v>28.01</v>
      </c>
      <c r="F80">
        <v>39058.080000000002</v>
      </c>
    </row>
    <row r="81" spans="1:6" x14ac:dyDescent="0.25">
      <c r="A81" s="2" t="s">
        <v>85</v>
      </c>
      <c r="B81">
        <v>406544.96</v>
      </c>
      <c r="C81">
        <v>100.84</v>
      </c>
      <c r="D81">
        <v>57.3</v>
      </c>
      <c r="E81">
        <v>18.66</v>
      </c>
      <c r="F81">
        <v>26018.880000000001</v>
      </c>
    </row>
    <row r="82" spans="1:6" x14ac:dyDescent="0.25">
      <c r="A82" s="2" t="s">
        <v>86</v>
      </c>
      <c r="B82">
        <v>494971.73</v>
      </c>
      <c r="C82">
        <v>122.78</v>
      </c>
      <c r="D82">
        <v>69.760000000000005</v>
      </c>
      <c r="E82">
        <v>22.72</v>
      </c>
      <c r="F82">
        <v>31678.19</v>
      </c>
    </row>
    <row r="83" spans="1:6" x14ac:dyDescent="0.25">
      <c r="A83" s="2" t="s">
        <v>87</v>
      </c>
      <c r="B83">
        <v>952958.82</v>
      </c>
      <c r="C83">
        <v>236.38</v>
      </c>
      <c r="D83">
        <v>134.30000000000001</v>
      </c>
      <c r="E83">
        <v>43.74</v>
      </c>
      <c r="F83">
        <v>60989.36</v>
      </c>
    </row>
    <row r="84" spans="1:6" x14ac:dyDescent="0.25">
      <c r="A84" s="2" t="s">
        <v>88</v>
      </c>
      <c r="B84">
        <v>362523.6</v>
      </c>
      <c r="C84">
        <v>89.92</v>
      </c>
      <c r="D84">
        <v>51.09</v>
      </c>
      <c r="E84">
        <v>16.64</v>
      </c>
      <c r="F84">
        <v>23201.51</v>
      </c>
    </row>
    <row r="85" spans="1:6" x14ac:dyDescent="0.25">
      <c r="A85" s="2" t="s">
        <v>89</v>
      </c>
      <c r="B85">
        <v>405017.58</v>
      </c>
      <c r="C85">
        <v>100.46</v>
      </c>
      <c r="D85">
        <v>57.08</v>
      </c>
      <c r="E85">
        <v>18.59</v>
      </c>
      <c r="F85">
        <v>25921.13</v>
      </c>
    </row>
    <row r="86" spans="1:6" x14ac:dyDescent="0.25">
      <c r="A86" s="2" t="s">
        <v>90</v>
      </c>
      <c r="B86">
        <v>441721.52</v>
      </c>
      <c r="C86">
        <v>109.56</v>
      </c>
      <c r="D86">
        <v>62.25</v>
      </c>
      <c r="E86">
        <v>20.28</v>
      </c>
      <c r="F86">
        <v>28270.18</v>
      </c>
    </row>
    <row r="87" spans="1:6" x14ac:dyDescent="0.25">
      <c r="A87" s="2" t="s">
        <v>91</v>
      </c>
      <c r="B87">
        <v>613419.11</v>
      </c>
      <c r="C87">
        <v>152.16</v>
      </c>
      <c r="D87">
        <v>86.45</v>
      </c>
      <c r="E87">
        <v>28.16</v>
      </c>
      <c r="F87">
        <v>39258.82</v>
      </c>
    </row>
    <row r="88" spans="1:6" x14ac:dyDescent="0.25">
      <c r="A88" s="1" t="s">
        <v>92</v>
      </c>
      <c r="B88">
        <v>4314630.3499999996</v>
      </c>
      <c r="C88">
        <v>1070.21</v>
      </c>
      <c r="D88">
        <v>608.08000000000004</v>
      </c>
      <c r="E88">
        <v>198.05</v>
      </c>
      <c r="F88">
        <v>276136.34000000003</v>
      </c>
    </row>
    <row r="89" spans="1:6" x14ac:dyDescent="0.25">
      <c r="A89" s="2" t="s">
        <v>93</v>
      </c>
      <c r="B89">
        <v>328995.8</v>
      </c>
      <c r="C89">
        <v>81.599999999999994</v>
      </c>
      <c r="D89">
        <v>46.37</v>
      </c>
      <c r="E89">
        <v>15.1</v>
      </c>
      <c r="F89">
        <v>21055.73</v>
      </c>
    </row>
    <row r="90" spans="1:6" x14ac:dyDescent="0.25">
      <c r="A90" s="2" t="s">
        <v>94</v>
      </c>
      <c r="B90">
        <v>343497.55</v>
      </c>
      <c r="C90">
        <v>85.2</v>
      </c>
      <c r="D90">
        <v>48.41</v>
      </c>
      <c r="E90">
        <v>15.77</v>
      </c>
      <c r="F90">
        <v>21983.84</v>
      </c>
    </row>
    <row r="91" spans="1:6" x14ac:dyDescent="0.25">
      <c r="A91" s="2" t="s">
        <v>95</v>
      </c>
      <c r="B91">
        <v>336512.89</v>
      </c>
      <c r="C91">
        <v>83.47</v>
      </c>
      <c r="D91">
        <v>47.42</v>
      </c>
      <c r="E91">
        <v>15.45</v>
      </c>
      <c r="F91">
        <v>21536.82</v>
      </c>
    </row>
    <row r="92" spans="1:6" x14ac:dyDescent="0.25">
      <c r="A92" s="2" t="s">
        <v>96</v>
      </c>
      <c r="B92">
        <v>340392.28</v>
      </c>
      <c r="C92">
        <v>84.43</v>
      </c>
      <c r="D92">
        <v>47.97</v>
      </c>
      <c r="E92">
        <v>15.62</v>
      </c>
      <c r="F92">
        <v>21785.11</v>
      </c>
    </row>
    <row r="93" spans="1:6" x14ac:dyDescent="0.25">
      <c r="A93" s="2" t="s">
        <v>97</v>
      </c>
      <c r="B93">
        <v>347829.25</v>
      </c>
      <c r="C93">
        <v>86.28</v>
      </c>
      <c r="D93">
        <v>49.02</v>
      </c>
      <c r="E93">
        <v>15.97</v>
      </c>
      <c r="F93">
        <v>22261.07</v>
      </c>
    </row>
    <row r="94" spans="1:6" x14ac:dyDescent="0.25">
      <c r="A94" s="2" t="s">
        <v>98</v>
      </c>
      <c r="B94">
        <v>343431.84</v>
      </c>
      <c r="C94">
        <v>85.18</v>
      </c>
      <c r="D94">
        <v>48.4</v>
      </c>
      <c r="E94">
        <v>15.76</v>
      </c>
      <c r="F94">
        <v>21979.64</v>
      </c>
    </row>
    <row r="95" spans="1:6" x14ac:dyDescent="0.25">
      <c r="A95" s="2" t="s">
        <v>99</v>
      </c>
      <c r="B95">
        <v>401633.18</v>
      </c>
      <c r="C95">
        <v>99.62</v>
      </c>
      <c r="D95">
        <v>56.6</v>
      </c>
      <c r="E95">
        <v>18.440000000000001</v>
      </c>
      <c r="F95">
        <v>25704.52</v>
      </c>
    </row>
    <row r="96" spans="1:6" x14ac:dyDescent="0.25">
      <c r="A96" s="2" t="s">
        <v>100</v>
      </c>
      <c r="B96">
        <v>397983.93</v>
      </c>
      <c r="C96">
        <v>98.72</v>
      </c>
      <c r="D96">
        <v>56.09</v>
      </c>
      <c r="E96">
        <v>18.27</v>
      </c>
      <c r="F96">
        <v>25470.97</v>
      </c>
    </row>
    <row r="97" spans="1:6" x14ac:dyDescent="0.25">
      <c r="A97" s="2" t="s">
        <v>101</v>
      </c>
      <c r="B97">
        <v>407514.16</v>
      </c>
      <c r="C97">
        <v>101.08</v>
      </c>
      <c r="D97">
        <v>57.43</v>
      </c>
      <c r="E97">
        <v>18.71</v>
      </c>
      <c r="F97">
        <v>26080.91</v>
      </c>
    </row>
    <row r="98" spans="1:6" x14ac:dyDescent="0.25">
      <c r="A98" s="2" t="s">
        <v>102</v>
      </c>
      <c r="B98">
        <v>393959.06</v>
      </c>
      <c r="C98">
        <v>97.72</v>
      </c>
      <c r="D98">
        <v>55.52</v>
      </c>
      <c r="E98">
        <v>18.079999999999998</v>
      </c>
      <c r="F98">
        <v>25213.38</v>
      </c>
    </row>
    <row r="99" spans="1:6" x14ac:dyDescent="0.25">
      <c r="A99" s="2" t="s">
        <v>103</v>
      </c>
      <c r="B99">
        <v>400094.05</v>
      </c>
      <c r="C99">
        <v>99.24</v>
      </c>
      <c r="D99">
        <v>56.39</v>
      </c>
      <c r="E99">
        <v>18.37</v>
      </c>
      <c r="F99">
        <v>25606.02</v>
      </c>
    </row>
    <row r="100" spans="1:6" x14ac:dyDescent="0.25">
      <c r="A100" s="2" t="s">
        <v>104</v>
      </c>
      <c r="B100">
        <v>442400.76</v>
      </c>
      <c r="C100">
        <v>109.74</v>
      </c>
      <c r="D100">
        <v>62.35</v>
      </c>
      <c r="E100">
        <v>20.309999999999999</v>
      </c>
      <c r="F100">
        <v>28313.65</v>
      </c>
    </row>
    <row r="101" spans="1:6" x14ac:dyDescent="0.25">
      <c r="A101" s="2" t="s">
        <v>105</v>
      </c>
      <c r="B101">
        <v>349173</v>
      </c>
      <c r="C101">
        <v>86.61</v>
      </c>
      <c r="D101">
        <v>49.21</v>
      </c>
      <c r="E101">
        <v>16.03</v>
      </c>
      <c r="F101">
        <v>22347.07</v>
      </c>
    </row>
    <row r="102" spans="1:6" x14ac:dyDescent="0.25">
      <c r="A102" s="3" t="s">
        <v>106</v>
      </c>
      <c r="B102">
        <v>829915.67</v>
      </c>
      <c r="C102">
        <v>205.86</v>
      </c>
      <c r="D102">
        <v>116.96</v>
      </c>
      <c r="E102">
        <v>38.1</v>
      </c>
      <c r="F102">
        <v>53114.6</v>
      </c>
    </row>
    <row r="103" spans="1:6" x14ac:dyDescent="0.25">
      <c r="A103" s="3" t="s">
        <v>107</v>
      </c>
      <c r="B103">
        <v>383938.21</v>
      </c>
      <c r="C103">
        <v>95.23</v>
      </c>
      <c r="D103">
        <v>54.11</v>
      </c>
      <c r="E103">
        <v>17.62</v>
      </c>
      <c r="F103">
        <v>24572.05</v>
      </c>
    </row>
    <row r="104" spans="1:6" x14ac:dyDescent="0.25">
      <c r="A104" s="3" t="s">
        <v>108</v>
      </c>
      <c r="B104">
        <v>304995.42</v>
      </c>
      <c r="C104">
        <v>75.650000000000006</v>
      </c>
      <c r="D104">
        <v>42.98</v>
      </c>
      <c r="E104">
        <v>14</v>
      </c>
      <c r="F104">
        <v>19519.71</v>
      </c>
    </row>
    <row r="105" spans="1:6" x14ac:dyDescent="0.25">
      <c r="A105" s="3" t="s">
        <v>109</v>
      </c>
      <c r="B105">
        <v>325894.94</v>
      </c>
      <c r="C105">
        <v>80.84</v>
      </c>
      <c r="D105">
        <v>45.93</v>
      </c>
      <c r="E105">
        <v>14.96</v>
      </c>
      <c r="F105">
        <v>20857.28</v>
      </c>
    </row>
    <row r="106" spans="1:6" x14ac:dyDescent="0.25">
      <c r="A106" s="3" t="s">
        <v>110</v>
      </c>
      <c r="B106">
        <v>371426.75</v>
      </c>
      <c r="C106">
        <v>92.13</v>
      </c>
      <c r="D106">
        <v>52.35</v>
      </c>
      <c r="E106">
        <v>17.05</v>
      </c>
      <c r="F106">
        <v>23771.31</v>
      </c>
    </row>
    <row r="107" spans="1:6" x14ac:dyDescent="0.25">
      <c r="A107" s="1" t="s">
        <v>111</v>
      </c>
      <c r="B107">
        <v>538526.94999999995</v>
      </c>
      <c r="C107">
        <v>133.58000000000001</v>
      </c>
      <c r="D107">
        <v>75.900000000000006</v>
      </c>
      <c r="E107">
        <v>24.72</v>
      </c>
      <c r="F107">
        <v>34465.72</v>
      </c>
    </row>
    <row r="108" spans="1:6" x14ac:dyDescent="0.25">
      <c r="A108" s="2" t="s">
        <v>112</v>
      </c>
      <c r="B108">
        <v>410115.85</v>
      </c>
      <c r="C108">
        <v>101.73</v>
      </c>
      <c r="D108">
        <v>57.8</v>
      </c>
      <c r="E108">
        <v>18.829999999999998</v>
      </c>
      <c r="F108">
        <v>26247.41</v>
      </c>
    </row>
    <row r="109" spans="1:6" x14ac:dyDescent="0.25">
      <c r="A109" s="2" t="s">
        <v>113</v>
      </c>
      <c r="B109">
        <v>325105.56</v>
      </c>
      <c r="C109">
        <v>80.64</v>
      </c>
      <c r="D109">
        <v>45.82</v>
      </c>
      <c r="E109">
        <v>14.92</v>
      </c>
      <c r="F109">
        <v>20806.759999999998</v>
      </c>
    </row>
    <row r="110" spans="1:6" x14ac:dyDescent="0.25">
      <c r="A110" s="2" t="s">
        <v>114</v>
      </c>
      <c r="B110">
        <v>361550.74</v>
      </c>
      <c r="C110">
        <v>89.68</v>
      </c>
      <c r="D110">
        <v>50.95</v>
      </c>
      <c r="E110">
        <v>16.600000000000001</v>
      </c>
      <c r="F110">
        <v>23139.25</v>
      </c>
    </row>
    <row r="111" spans="1:6" x14ac:dyDescent="0.25">
      <c r="A111" s="2" t="s">
        <v>115</v>
      </c>
      <c r="B111">
        <v>413909.7</v>
      </c>
      <c r="C111">
        <v>102.67</v>
      </c>
      <c r="D111">
        <v>58.33</v>
      </c>
      <c r="E111">
        <v>19</v>
      </c>
      <c r="F111">
        <v>26490.22</v>
      </c>
    </row>
    <row r="112" spans="1:6" x14ac:dyDescent="0.25">
      <c r="A112" s="2" t="s">
        <v>116</v>
      </c>
      <c r="B112">
        <v>408985.1</v>
      </c>
      <c r="C112">
        <v>101.44</v>
      </c>
      <c r="D112">
        <v>57.64</v>
      </c>
      <c r="E112">
        <v>18.77</v>
      </c>
      <c r="F112">
        <v>26175.05</v>
      </c>
    </row>
    <row r="113" spans="1:6" x14ac:dyDescent="0.25">
      <c r="A113" s="2" t="s">
        <v>117</v>
      </c>
      <c r="B113">
        <v>427388.78</v>
      </c>
      <c r="C113">
        <v>106.01</v>
      </c>
      <c r="D113">
        <v>60.23</v>
      </c>
      <c r="E113">
        <v>19.62</v>
      </c>
      <c r="F113">
        <v>27352.880000000001</v>
      </c>
    </row>
    <row r="114" spans="1:6" x14ac:dyDescent="0.25">
      <c r="A114" s="2" t="s">
        <v>118</v>
      </c>
      <c r="B114">
        <v>440883.22</v>
      </c>
      <c r="C114">
        <v>109.36</v>
      </c>
      <c r="D114">
        <v>62.13</v>
      </c>
      <c r="E114">
        <v>20.239999999999998</v>
      </c>
      <c r="F114">
        <v>28216.53</v>
      </c>
    </row>
    <row r="115" spans="1:6" x14ac:dyDescent="0.25">
      <c r="A115" s="2" t="s">
        <v>119</v>
      </c>
      <c r="B115">
        <v>409284.31</v>
      </c>
      <c r="C115">
        <v>101.52</v>
      </c>
      <c r="D115">
        <v>57.68</v>
      </c>
      <c r="E115">
        <v>18.79</v>
      </c>
      <c r="F115">
        <v>26194.2</v>
      </c>
    </row>
    <row r="116" spans="1:6" x14ac:dyDescent="0.25">
      <c r="A116" s="2" t="s">
        <v>120</v>
      </c>
      <c r="B116">
        <v>731399.07</v>
      </c>
      <c r="C116">
        <v>181.42</v>
      </c>
      <c r="D116">
        <v>103.08</v>
      </c>
      <c r="E116">
        <v>33.57</v>
      </c>
      <c r="F116">
        <v>46809.54</v>
      </c>
    </row>
    <row r="117" spans="1:6" x14ac:dyDescent="0.25">
      <c r="A117" s="2" t="s">
        <v>121</v>
      </c>
      <c r="B117">
        <v>876205.29</v>
      </c>
      <c r="C117">
        <v>217.34</v>
      </c>
      <c r="D117">
        <v>123.49</v>
      </c>
      <c r="E117">
        <v>40.22</v>
      </c>
      <c r="F117">
        <v>56077.14</v>
      </c>
    </row>
    <row r="118" spans="1:6" x14ac:dyDescent="0.25">
      <c r="A118" s="1" t="s">
        <v>122</v>
      </c>
      <c r="B118">
        <v>473355.64</v>
      </c>
      <c r="C118">
        <v>117.41</v>
      </c>
      <c r="D118">
        <v>66.709999999999994</v>
      </c>
      <c r="E118">
        <v>21.73</v>
      </c>
      <c r="F118">
        <v>30294.76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VECCHI FRANCESCA</cp:lastModifiedBy>
  <dcterms:created xsi:type="dcterms:W3CDTF">2026-03-24T08:14:23Z</dcterms:created>
  <dcterms:modified xsi:type="dcterms:W3CDTF">2026-03-24T16:40:23Z</dcterms:modified>
</cp:coreProperties>
</file>